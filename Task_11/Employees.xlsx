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l_sh\OneDrive\Desktop\IEEE\season 26\IEEE-CS-AI-25\Task_11\"/>
    </mc:Choice>
  </mc:AlternateContent>
  <bookViews>
    <workbookView xWindow="0" yWindow="0" windowWidth="20490" windowHeight="75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F14" i="1" l="1"/>
  <c r="AF13" i="1"/>
  <c r="AF12" i="1"/>
  <c r="AF11" i="1"/>
  <c r="AF10" i="1"/>
  <c r="AF9" i="1"/>
  <c r="AF8" i="1"/>
  <c r="AF7" i="1"/>
  <c r="AF6" i="1"/>
  <c r="AF5" i="1"/>
  <c r="Y6" i="1"/>
  <c r="Y5" i="1"/>
  <c r="R36" i="1" l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2" i="1"/>
</calcChain>
</file>

<file path=xl/sharedStrings.xml><?xml version="1.0" encoding="utf-8"?>
<sst xmlns="http://schemas.openxmlformats.org/spreadsheetml/2006/main" count="476" uniqueCount="291">
  <si>
    <t>Employee ID</t>
  </si>
  <si>
    <t>First Name</t>
  </si>
  <si>
    <t>Last Name</t>
  </si>
  <si>
    <t>Gender</t>
  </si>
  <si>
    <t>Nationality</t>
  </si>
  <si>
    <t>Phone Number</t>
  </si>
  <si>
    <t>Email Address</t>
  </si>
  <si>
    <t>Address</t>
  </si>
  <si>
    <t>Department</t>
  </si>
  <si>
    <t>Job Title</t>
  </si>
  <si>
    <t>Employement Type</t>
  </si>
  <si>
    <t>Date of Hiring</t>
  </si>
  <si>
    <t>Reporting Manager</t>
  </si>
  <si>
    <t>Base Salary</t>
  </si>
  <si>
    <t>Bonuses</t>
  </si>
  <si>
    <t xml:space="preserve">Deductions </t>
  </si>
  <si>
    <t>Net Salary</t>
  </si>
  <si>
    <t>Job Level</t>
  </si>
  <si>
    <t>EMP-203X</t>
  </si>
  <si>
    <t>Ahmed</t>
  </si>
  <si>
    <t>Khaled</t>
  </si>
  <si>
    <t>Male</t>
  </si>
  <si>
    <t>Egyptian</t>
  </si>
  <si>
    <t>+20 1012345678</t>
  </si>
  <si>
    <t>ahmed.khaled@email.com</t>
  </si>
  <si>
    <t>Cairo, Egypt</t>
  </si>
  <si>
    <t>IT</t>
  </si>
  <si>
    <t>Software Engineer</t>
  </si>
  <si>
    <t>Junior</t>
  </si>
  <si>
    <t>Full-Time</t>
  </si>
  <si>
    <t>Sarah Mahmoud</t>
  </si>
  <si>
    <t>EMP-450B</t>
  </si>
  <si>
    <t>Sarah</t>
  </si>
  <si>
    <t>Johnson</t>
  </si>
  <si>
    <t>Female</t>
  </si>
  <si>
    <t>American</t>
  </si>
  <si>
    <t>+1 3124567890</t>
  </si>
  <si>
    <t>sarah.johnson@email.com</t>
  </si>
  <si>
    <t>Chicago, USA</t>
  </si>
  <si>
    <t>Marketing</t>
  </si>
  <si>
    <t>Digital Marketer</t>
  </si>
  <si>
    <t>Mid-Level</t>
  </si>
  <si>
    <t>Mark Williams</t>
  </si>
  <si>
    <t>EMP-392A</t>
  </si>
  <si>
    <t>Raj</t>
  </si>
  <si>
    <t>Sharma</t>
  </si>
  <si>
    <t>Indian</t>
  </si>
  <si>
    <t>+91 9876543210</t>
  </si>
  <si>
    <t>raj.sharma@email.com</t>
  </si>
  <si>
    <t>Mumbai, India</t>
  </si>
  <si>
    <t>Finance</t>
  </si>
  <si>
    <t>Accountant</t>
  </si>
  <si>
    <t>Entry-Level</t>
  </si>
  <si>
    <t>Anjali Verma</t>
  </si>
  <si>
    <t>EMP-721M</t>
  </si>
  <si>
    <t>Fatima</t>
  </si>
  <si>
    <t>Ali</t>
  </si>
  <si>
    <t>Pakistani</t>
  </si>
  <si>
    <t>+92 3216549870</t>
  </si>
  <si>
    <t>fatima.ali@email.com</t>
  </si>
  <si>
    <t>Karachi, Pakistan</t>
  </si>
  <si>
    <t>HR</t>
  </si>
  <si>
    <t>HR Specialist</t>
  </si>
  <si>
    <t>Senior</t>
  </si>
  <si>
    <t>Part-Time</t>
  </si>
  <si>
    <t>Omar Khan</t>
  </si>
  <si>
    <t>EMP-168C</t>
  </si>
  <si>
    <t>James</t>
  </si>
  <si>
    <t>Smith</t>
  </si>
  <si>
    <t>British</t>
  </si>
  <si>
    <t>+44 7712345678</t>
  </si>
  <si>
    <t>james.smith@email.com</t>
  </si>
  <si>
    <t>London, UK</t>
  </si>
  <si>
    <t>Backend Developer</t>
  </si>
  <si>
    <t>Alice Brown</t>
  </si>
  <si>
    <t>EMP-847X</t>
  </si>
  <si>
    <t>Li Wei</t>
  </si>
  <si>
    <t>Zhang</t>
  </si>
  <si>
    <t>Chinese</t>
  </si>
  <si>
    <t>+86 13987654321</t>
  </si>
  <si>
    <t>liwei.zhang@email.com</t>
  </si>
  <si>
    <t>Beijing, China</t>
  </si>
  <si>
    <t>R&amp;D</t>
  </si>
  <si>
    <t>Research Scientist</t>
  </si>
  <si>
    <t>Contract</t>
  </si>
  <si>
    <t>Chen Yu</t>
  </si>
  <si>
    <t>EMP-309L</t>
  </si>
  <si>
    <t>Maria</t>
  </si>
  <si>
    <t>Garcia</t>
  </si>
  <si>
    <t>Spanish</t>
  </si>
  <si>
    <t>+34 612345678</t>
  </si>
  <si>
    <t>maria.garcia@email.com</t>
  </si>
  <si>
    <t>Madrid, Spain</t>
  </si>
  <si>
    <t>Sales</t>
  </si>
  <si>
    <t>Sales Executive</t>
  </si>
  <si>
    <t>Carlos Rodriguez</t>
  </si>
  <si>
    <t>EMP-574J</t>
  </si>
  <si>
    <t>Mohamed</t>
  </si>
  <si>
    <t>El-Sayed</t>
  </si>
  <si>
    <t>+20 1023456789</t>
  </si>
  <si>
    <t>mohamed.elsayed@email.com</t>
  </si>
  <si>
    <t>Alexandria, Egypt</t>
  </si>
  <si>
    <t>System Administrator</t>
  </si>
  <si>
    <t>Ahmed Khaled</t>
  </si>
  <si>
    <t>EMP-263D</t>
  </si>
  <si>
    <t>Emily</t>
  </si>
  <si>
    <t>Brown</t>
  </si>
  <si>
    <t>Canadian</t>
  </si>
  <si>
    <t>+1 6471234567</t>
  </si>
  <si>
    <t>emily.brown@email.com</t>
  </si>
  <si>
    <t>Toronto, Canada</t>
  </si>
  <si>
    <t>Recruitment Officer</t>
  </si>
  <si>
    <t>Lisa White</t>
  </si>
  <si>
    <t>EMP-932Y</t>
  </si>
  <si>
    <t>Hassan</t>
  </si>
  <si>
    <t>Saudi</t>
  </si>
  <si>
    <t>+966 501234567</t>
  </si>
  <si>
    <t>hassan.ahmed@email.com</t>
  </si>
  <si>
    <t>Riyadh, Saudi Arabia</t>
  </si>
  <si>
    <t>Financial Analyst</t>
  </si>
  <si>
    <t>Youssef Al-Mansour</t>
  </si>
  <si>
    <t>EMP-478Q</t>
  </si>
  <si>
    <t>Sophie</t>
  </si>
  <si>
    <t>Dubois</t>
  </si>
  <si>
    <t>French</t>
  </si>
  <si>
    <t>+33 612345678</t>
  </si>
  <si>
    <t>sophie.dubois@email.com</t>
  </si>
  <si>
    <t>Paris, France</t>
  </si>
  <si>
    <t>Brand Manager</t>
  </si>
  <si>
    <t>Claire Lefevre</t>
  </si>
  <si>
    <t>EMP-814K</t>
  </si>
  <si>
    <t>David</t>
  </si>
  <si>
    <t>Kim</t>
  </si>
  <si>
    <t>South Korean</t>
  </si>
  <si>
    <t>+82 1023456789</t>
  </si>
  <si>
    <t>david.kim@email.com</t>
  </si>
  <si>
    <t>Seoul, S. Korea</t>
  </si>
  <si>
    <t>Data Scientist</t>
  </si>
  <si>
    <t>Jin Park</t>
  </si>
  <si>
    <t>EMP-107F</t>
  </si>
  <si>
    <t>Amina</t>
  </si>
  <si>
    <t>Yusuf</t>
  </si>
  <si>
    <t>Nigerian</t>
  </si>
  <si>
    <t>+234 8023456789</t>
  </si>
  <si>
    <t>amina.yusuf@email.com</t>
  </si>
  <si>
    <t>Lagos, Nigeria</t>
  </si>
  <si>
    <t>Customer Support</t>
  </si>
  <si>
    <t>Call Center Agent</t>
  </si>
  <si>
    <t>Peter Johnson</t>
  </si>
  <si>
    <t>EMP-691P</t>
  </si>
  <si>
    <t>Oliver</t>
  </si>
  <si>
    <t>Evans</t>
  </si>
  <si>
    <t>Australian</t>
  </si>
  <si>
    <t>+61 412345678</t>
  </si>
  <si>
    <t>oliver.evans@email.com</t>
  </si>
  <si>
    <t>Sydney, Australia</t>
  </si>
  <si>
    <t>Operations</t>
  </si>
  <si>
    <t>Logistics Manager</t>
  </si>
  <si>
    <t>Anna Wilson</t>
  </si>
  <si>
    <t>EMP-259T</t>
  </si>
  <si>
    <t>Isabella</t>
  </si>
  <si>
    <t>Rossi</t>
  </si>
  <si>
    <t>Italian</t>
  </si>
  <si>
    <t>+39 331234567</t>
  </si>
  <si>
    <t>isabella.rossi@email.com</t>
  </si>
  <si>
    <t>Rome, Italy</t>
  </si>
  <si>
    <t>Legal</t>
  </si>
  <si>
    <t>Compliance Officer</t>
  </si>
  <si>
    <t>Marco Ricci</t>
  </si>
  <si>
    <t>EMP-485N</t>
  </si>
  <si>
    <t>Robert</t>
  </si>
  <si>
    <t>Martinez</t>
  </si>
  <si>
    <t>Mexican</t>
  </si>
  <si>
    <t>+52 551234567</t>
  </si>
  <si>
    <t>robert.martinez@email.com</t>
  </si>
  <si>
    <t>Mexico City, Mexico</t>
  </si>
  <si>
    <t>Frontend Developer</t>
  </si>
  <si>
    <t>Sofia Hernandez</t>
  </si>
  <si>
    <t>EMP-723V</t>
  </si>
  <si>
    <t>Keiko</t>
  </si>
  <si>
    <t>Tanaka</t>
  </si>
  <si>
    <t>Japanese</t>
  </si>
  <si>
    <t>+81 901234567</t>
  </si>
  <si>
    <t>keiko.tanaka@email.com</t>
  </si>
  <si>
    <t>Tokyo, Japan</t>
  </si>
  <si>
    <t>Product Designer</t>
  </si>
  <si>
    <t>Takashi Nakamura</t>
  </si>
  <si>
    <t>EMP-501A</t>
  </si>
  <si>
    <t>Mahmoud</t>
  </si>
  <si>
    <t>+20 1011111111</t>
  </si>
  <si>
    <t>sarah.mahmoud@email.com</t>
  </si>
  <si>
    <t>IT Manager</t>
  </si>
  <si>
    <t>-</t>
  </si>
  <si>
    <t>EMP-602B</t>
  </si>
  <si>
    <t>Mark</t>
  </si>
  <si>
    <t>Williams</t>
  </si>
  <si>
    <t>+1 3122222222</t>
  </si>
  <si>
    <t>mark.williams@email.com</t>
  </si>
  <si>
    <t>Marketing Director</t>
  </si>
  <si>
    <t>EMP-705C</t>
  </si>
  <si>
    <t>Anjali</t>
  </si>
  <si>
    <t>Verma</t>
  </si>
  <si>
    <t>+91 9873333333</t>
  </si>
  <si>
    <t>anjali.verma@email.com</t>
  </si>
  <si>
    <t>Chief Financial Officer</t>
  </si>
  <si>
    <t>EMP-808D</t>
  </si>
  <si>
    <t>Omar</t>
  </si>
  <si>
    <t>Khan</t>
  </si>
  <si>
    <t>+92 3214444444</t>
  </si>
  <si>
    <t>omar.khan@email.com</t>
  </si>
  <si>
    <t>HR Manager</t>
  </si>
  <si>
    <t>EMP-909E</t>
  </si>
  <si>
    <t>Alice</t>
  </si>
  <si>
    <t>+44 7715555555</t>
  </si>
  <si>
    <t>alice.brown@email.com</t>
  </si>
  <si>
    <t>Technical Lead</t>
  </si>
  <si>
    <t>EMP-112F</t>
  </si>
  <si>
    <t>Chen</t>
  </si>
  <si>
    <t>Yu</t>
  </si>
  <si>
    <t>+86 1396666666</t>
  </si>
  <si>
    <t>chen.yu@email.com</t>
  </si>
  <si>
    <t>R&amp;D Director</t>
  </si>
  <si>
    <t>EMP-213G</t>
  </si>
  <si>
    <t>Carlos</t>
  </si>
  <si>
    <t>Rodriguez</t>
  </si>
  <si>
    <t>+34 6127777777</t>
  </si>
  <si>
    <t>carlos.rodriguez@email.com</t>
  </si>
  <si>
    <t>Sales Manager</t>
  </si>
  <si>
    <t>EMP-314H</t>
  </si>
  <si>
    <t>+20 1028888888</t>
  </si>
  <si>
    <t>Software Development Lead</t>
  </si>
  <si>
    <t>EMP-415I</t>
  </si>
  <si>
    <t>Lisa</t>
  </si>
  <si>
    <t>White</t>
  </si>
  <si>
    <t>+1 6479999999</t>
  </si>
  <si>
    <t>lisa.white@email.com</t>
  </si>
  <si>
    <t>HR Director</t>
  </si>
  <si>
    <t>EMP-516J</t>
  </si>
  <si>
    <t>Youssef</t>
  </si>
  <si>
    <t>Al-Mansour</t>
  </si>
  <si>
    <t>+966 501000000</t>
  </si>
  <si>
    <t>youssef.mansour@email.com</t>
  </si>
  <si>
    <t>Finance Manager</t>
  </si>
  <si>
    <t>EMP-617K</t>
  </si>
  <si>
    <t>Claire</t>
  </si>
  <si>
    <t>Lefevre</t>
  </si>
  <si>
    <t>+33 6121111111</t>
  </si>
  <si>
    <t>claire.lefevre@email.com</t>
  </si>
  <si>
    <t>Brand Director</t>
  </si>
  <si>
    <t>EMP-718L</t>
  </si>
  <si>
    <t>Jin</t>
  </si>
  <si>
    <t>Park</t>
  </si>
  <si>
    <t>+82 1022222222</t>
  </si>
  <si>
    <t>jin.park@email.com</t>
  </si>
  <si>
    <t>Data Science Manager</t>
  </si>
  <si>
    <t>EMP-819M</t>
  </si>
  <si>
    <t>Peter</t>
  </si>
  <si>
    <t>+61 4123333333</t>
  </si>
  <si>
    <t>peter.johnson@email.com</t>
  </si>
  <si>
    <t>Customer Relations Head</t>
  </si>
  <si>
    <t>EMP-920N</t>
  </si>
  <si>
    <t>Anna</t>
  </si>
  <si>
    <t>Wilson</t>
  </si>
  <si>
    <t>+44 7714444444</t>
  </si>
  <si>
    <t>anna.wilson@email.com</t>
  </si>
  <si>
    <t>Operations Director</t>
  </si>
  <si>
    <t>EMP-021O</t>
  </si>
  <si>
    <t>Marco</t>
  </si>
  <si>
    <t>Ricci</t>
  </si>
  <si>
    <t>+39 3315555555</t>
  </si>
  <si>
    <t>marco.ricci@email.com</t>
  </si>
  <si>
    <t>Legal Counsel</t>
  </si>
  <si>
    <t>EMP-122P</t>
  </si>
  <si>
    <t>Sofia</t>
  </si>
  <si>
    <t>Hernandez</t>
  </si>
  <si>
    <t>+52 5516666666</t>
  </si>
  <si>
    <t>sofia.hernandez@email.com</t>
  </si>
  <si>
    <t>UI/UX Design Lead</t>
  </si>
  <si>
    <t>EMP-223Q</t>
  </si>
  <si>
    <t>Takashi</t>
  </si>
  <si>
    <t>Nakamura</t>
  </si>
  <si>
    <t>+81 9017777777</t>
  </si>
  <si>
    <t>takashi.nakamura@email.com</t>
  </si>
  <si>
    <t>Innovation Strategist</t>
  </si>
  <si>
    <t>Adminstration</t>
  </si>
  <si>
    <t>Manager</t>
  </si>
  <si>
    <t>Trainee</t>
  </si>
  <si>
    <t>Lead</t>
  </si>
  <si>
    <t>Intern</t>
  </si>
  <si>
    <t>Count</t>
  </si>
  <si>
    <t>Total Salaries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</si>
</sst>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164" fontId="2" fillId="0" borderId="0" xfId="0" applyNumberFormat="1" applyFont="1"/>
    <xf numFmtId="10" fontId="2" fillId="0" borderId="0" xfId="0" applyNumberFormat="1" applyFont="1"/>
    <xf numFmtId="0" fontId="2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164" fontId="3" fillId="0" borderId="1" xfId="0" applyNumberFormat="1" applyFont="1" applyBorder="1" applyAlignment="1">
      <alignment horizontal="center"/>
    </xf>
    <xf numFmtId="10" fontId="3" fillId="0" borderId="1" xfId="0" applyNumberFormat="1" applyFont="1" applyBorder="1" applyAlignment="1">
      <alignment horizontal="center"/>
    </xf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horizontal="left" vertical="center" wrapText="1"/>
    </xf>
    <xf numFmtId="164" fontId="0" fillId="0" borderId="1" xfId="0" applyNumberFormat="1" applyBorder="1" applyAlignment="1">
      <alignment vertical="center" wrapText="1"/>
    </xf>
    <xf numFmtId="10" fontId="0" fillId="0" borderId="1" xfId="0" applyNumberFormat="1" applyBorder="1" applyAlignment="1">
      <alignment vertical="center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Ratio of</a:t>
            </a:r>
            <a:r>
              <a:rPr lang="en-US" baseline="0"/>
              <a:t> Male to Female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Sheet1!$Y$4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Sheet1!$X$5:$X$6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Sheet1!$Y$5:$Y$6</c:f>
              <c:numCache>
                <c:formatCode>General</c:formatCode>
                <c:ptCount val="2"/>
                <c:pt idx="0">
                  <c:v>15</c:v>
                </c:pt>
                <c:pt idx="1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76-4915-A5CA-79056FD7E8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Salaries / Department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Sheet1!$AF$4</c:f>
              <c:strCache>
                <c:ptCount val="1"/>
                <c:pt idx="0">
                  <c:v>Total Salaries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Sheet1!$AE$5:$AE$14</c:f>
              <c:strCache>
                <c:ptCount val="10"/>
                <c:pt idx="0">
                  <c:v>HR</c:v>
                </c:pt>
                <c:pt idx="1">
                  <c:v>Finance</c:v>
                </c:pt>
                <c:pt idx="2">
                  <c:v>Marketing</c:v>
                </c:pt>
                <c:pt idx="3">
                  <c:v>Sales</c:v>
                </c:pt>
                <c:pt idx="4">
                  <c:v>Operations</c:v>
                </c:pt>
                <c:pt idx="5">
                  <c:v>IT</c:v>
                </c:pt>
                <c:pt idx="6">
                  <c:v>Customer Support</c:v>
                </c:pt>
                <c:pt idx="7">
                  <c:v>R&amp;D</c:v>
                </c:pt>
                <c:pt idx="8">
                  <c:v>Legal</c:v>
                </c:pt>
                <c:pt idx="9">
                  <c:v>Adminstration</c:v>
                </c:pt>
              </c:strCache>
            </c:strRef>
          </c:cat>
          <c:val>
            <c:numRef>
              <c:f>Sheet1!$AF$5:$AF$14</c:f>
              <c:numCache>
                <c:formatCode>"$"#,##0.00</c:formatCode>
                <c:ptCount val="10"/>
                <c:pt idx="0">
                  <c:v>373700</c:v>
                </c:pt>
                <c:pt idx="1">
                  <c:v>254500</c:v>
                </c:pt>
                <c:pt idx="2">
                  <c:v>328600</c:v>
                </c:pt>
                <c:pt idx="3">
                  <c:v>227200</c:v>
                </c:pt>
                <c:pt idx="4">
                  <c:v>185700</c:v>
                </c:pt>
                <c:pt idx="5">
                  <c:v>737200</c:v>
                </c:pt>
                <c:pt idx="6">
                  <c:v>135000</c:v>
                </c:pt>
                <c:pt idx="7">
                  <c:v>247800</c:v>
                </c:pt>
                <c:pt idx="8">
                  <c:v>257300</c:v>
                </c:pt>
                <c:pt idx="9">
                  <c:v>90400.000000000015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94-43DE-B79A-048499692F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25245488"/>
        <c:axId val="825242992"/>
      </c:barChart>
      <c:catAx>
        <c:axId val="825245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5242992"/>
        <c:crosses val="autoZero"/>
        <c:auto val="1"/>
        <c:lblAlgn val="ctr"/>
        <c:lblOffset val="100"/>
        <c:noMultiLvlLbl val="0"/>
      </c:catAx>
      <c:valAx>
        <c:axId val="825242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5245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209550</xdr:colOff>
      <xdr:row>1</xdr:row>
      <xdr:rowOff>285750</xdr:rowOff>
    </xdr:from>
    <xdr:to>
      <xdr:col>27</xdr:col>
      <xdr:colOff>514350</xdr:colOff>
      <xdr:row>8</xdr:row>
      <xdr:rowOff>171450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195262</xdr:colOff>
      <xdr:row>8</xdr:row>
      <xdr:rowOff>247650</xdr:rowOff>
    </xdr:from>
    <xdr:to>
      <xdr:col>27</xdr:col>
      <xdr:colOff>500062</xdr:colOff>
      <xdr:row>13</xdr:row>
      <xdr:rowOff>514350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6"/>
  <sheetViews>
    <sheetView tabSelected="1" topLeftCell="L4" workbookViewId="0">
      <selection activeCell="S7" sqref="S7"/>
    </sheetView>
  </sheetViews>
  <sheetFormatPr defaultRowHeight="14.25" x14ac:dyDescent="0.2"/>
  <cols>
    <col min="1" max="1" width="13.7109375" style="2" bestFit="1" customWidth="1"/>
    <col min="2" max="2" width="11.85546875" style="1" bestFit="1" customWidth="1"/>
    <col min="3" max="3" width="11.5703125" style="1" bestFit="1" customWidth="1"/>
    <col min="4" max="4" width="8.7109375" style="1" bestFit="1" customWidth="1"/>
    <col min="5" max="5" width="11.5703125" style="1" bestFit="1" customWidth="1"/>
    <col min="6" max="6" width="16.28515625" style="1" bestFit="1" customWidth="1"/>
    <col min="7" max="7" width="15.42578125" style="1" bestFit="1" customWidth="1"/>
    <col min="8" max="8" width="9.28515625" style="1" bestFit="1" customWidth="1"/>
    <col min="9" max="9" width="12.5703125" style="1" customWidth="1"/>
    <col min="10" max="10" width="9.85546875" style="1" bestFit="1" customWidth="1"/>
    <col min="11" max="11" width="11" style="1" bestFit="1" customWidth="1"/>
    <col min="12" max="12" width="20.42578125" style="1" bestFit="1" customWidth="1"/>
    <col min="13" max="13" width="15.140625" style="5" bestFit="1" customWidth="1"/>
    <col min="14" max="14" width="20.85546875" style="1" bestFit="1" customWidth="1"/>
    <col min="15" max="15" width="12.85546875" style="3" bestFit="1" customWidth="1"/>
    <col min="16" max="16" width="10" style="4" bestFit="1" customWidth="1"/>
    <col min="17" max="17" width="13.28515625" style="3" bestFit="1" customWidth="1"/>
    <col min="18" max="18" width="14.28515625" style="3" bestFit="1" customWidth="1"/>
    <col min="19" max="31" width="9.140625" style="1"/>
    <col min="32" max="32" width="14.28515625" style="1" bestFit="1" customWidth="1"/>
    <col min="33" max="16384" width="9.140625" style="1"/>
  </cols>
  <sheetData>
    <row r="1" spans="1:32" ht="15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17</v>
      </c>
      <c r="L1" s="6" t="s">
        <v>10</v>
      </c>
      <c r="M1" s="7" t="s">
        <v>11</v>
      </c>
      <c r="N1" s="6" t="s">
        <v>12</v>
      </c>
      <c r="O1" s="8" t="s">
        <v>13</v>
      </c>
      <c r="P1" s="9" t="s">
        <v>14</v>
      </c>
      <c r="Q1" s="8" t="s">
        <v>15</v>
      </c>
      <c r="R1" s="8" t="s">
        <v>16</v>
      </c>
    </row>
    <row r="2" spans="1:32" ht="30" x14ac:dyDescent="0.2">
      <c r="A2" s="10" t="s">
        <v>18</v>
      </c>
      <c r="B2" s="10" t="s">
        <v>19</v>
      </c>
      <c r="C2" s="10" t="s">
        <v>20</v>
      </c>
      <c r="D2" s="10" t="s">
        <v>21</v>
      </c>
      <c r="E2" s="10" t="s">
        <v>22</v>
      </c>
      <c r="F2" s="10" t="s">
        <v>23</v>
      </c>
      <c r="G2" s="10" t="s">
        <v>24</v>
      </c>
      <c r="H2" s="10" t="s">
        <v>25</v>
      </c>
      <c r="I2" s="10" t="s">
        <v>26</v>
      </c>
      <c r="J2" s="10" t="s">
        <v>27</v>
      </c>
      <c r="K2" s="10" t="s">
        <v>63</v>
      </c>
      <c r="L2" s="10" t="s">
        <v>29</v>
      </c>
      <c r="M2" s="11">
        <v>45058</v>
      </c>
      <c r="N2" s="10" t="s">
        <v>30</v>
      </c>
      <c r="O2" s="12">
        <v>15000</v>
      </c>
      <c r="P2" s="13">
        <v>0.02</v>
      </c>
      <c r="Q2" s="12">
        <v>500</v>
      </c>
      <c r="R2" s="12">
        <f>SUM((O2*(P2*100))-Q2)</f>
        <v>29500</v>
      </c>
    </row>
    <row r="3" spans="1:32" ht="30" x14ac:dyDescent="0.2">
      <c r="A3" s="10" t="s">
        <v>31</v>
      </c>
      <c r="B3" s="10" t="s">
        <v>32</v>
      </c>
      <c r="C3" s="10" t="s">
        <v>33</v>
      </c>
      <c r="D3" s="10" t="s">
        <v>34</v>
      </c>
      <c r="E3" s="10" t="s">
        <v>35</v>
      </c>
      <c r="F3" s="10" t="s">
        <v>36</v>
      </c>
      <c r="G3" s="10" t="s">
        <v>37</v>
      </c>
      <c r="H3" s="10" t="s">
        <v>38</v>
      </c>
      <c r="I3" s="10" t="s">
        <v>39</v>
      </c>
      <c r="J3" s="10" t="s">
        <v>40</v>
      </c>
      <c r="K3" s="10" t="s">
        <v>63</v>
      </c>
      <c r="L3" s="10" t="s">
        <v>29</v>
      </c>
      <c r="M3" s="11">
        <v>44793</v>
      </c>
      <c r="N3" s="10" t="s">
        <v>42</v>
      </c>
      <c r="O3" s="12">
        <v>18000</v>
      </c>
      <c r="P3" s="13">
        <v>0.03</v>
      </c>
      <c r="Q3" s="12">
        <v>700</v>
      </c>
      <c r="R3" s="12">
        <f t="shared" ref="R3:R35" si="0">SUM((O3*(P3*100))-Q3)</f>
        <v>53300</v>
      </c>
    </row>
    <row r="4" spans="1:32" ht="30" x14ac:dyDescent="0.2">
      <c r="A4" s="10" t="s">
        <v>43</v>
      </c>
      <c r="B4" s="10" t="s">
        <v>44</v>
      </c>
      <c r="C4" s="10" t="s">
        <v>45</v>
      </c>
      <c r="D4" s="10" t="s">
        <v>21</v>
      </c>
      <c r="E4" s="10" t="s">
        <v>46</v>
      </c>
      <c r="F4" s="10" t="s">
        <v>47</v>
      </c>
      <c r="G4" s="10" t="s">
        <v>48</v>
      </c>
      <c r="H4" s="10" t="s">
        <v>49</v>
      </c>
      <c r="I4" s="10" t="s">
        <v>50</v>
      </c>
      <c r="J4" s="10" t="s">
        <v>51</v>
      </c>
      <c r="K4" s="10" t="s">
        <v>41</v>
      </c>
      <c r="L4" s="10" t="s">
        <v>29</v>
      </c>
      <c r="M4" s="11">
        <v>45337</v>
      </c>
      <c r="N4" s="10" t="s">
        <v>53</v>
      </c>
      <c r="O4" s="12">
        <v>12000</v>
      </c>
      <c r="P4" s="13">
        <v>0.05</v>
      </c>
      <c r="Q4" s="12">
        <v>300</v>
      </c>
      <c r="R4" s="12">
        <f t="shared" si="0"/>
        <v>59700</v>
      </c>
      <c r="X4" s="1" t="s">
        <v>3</v>
      </c>
      <c r="Y4" s="1" t="s">
        <v>289</v>
      </c>
      <c r="AE4" s="1" t="s">
        <v>8</v>
      </c>
      <c r="AF4" s="1" t="s">
        <v>290</v>
      </c>
    </row>
    <row r="5" spans="1:32" ht="30" x14ac:dyDescent="0.2">
      <c r="A5" s="10" t="s">
        <v>54</v>
      </c>
      <c r="B5" s="10" t="s">
        <v>55</v>
      </c>
      <c r="C5" s="10" t="s">
        <v>56</v>
      </c>
      <c r="D5" s="10" t="s">
        <v>34</v>
      </c>
      <c r="E5" s="10" t="s">
        <v>57</v>
      </c>
      <c r="F5" s="10" t="s">
        <v>58</v>
      </c>
      <c r="G5" s="10" t="s">
        <v>59</v>
      </c>
      <c r="H5" s="10" t="s">
        <v>60</v>
      </c>
      <c r="I5" s="10" t="s">
        <v>61</v>
      </c>
      <c r="J5" s="10" t="s">
        <v>62</v>
      </c>
      <c r="K5" s="10" t="s">
        <v>52</v>
      </c>
      <c r="L5" s="10" t="s">
        <v>29</v>
      </c>
      <c r="M5" s="11">
        <v>44387</v>
      </c>
      <c r="N5" s="10" t="s">
        <v>65</v>
      </c>
      <c r="O5" s="12">
        <v>14000</v>
      </c>
      <c r="P5" s="13">
        <v>7.0000000000000007E-2</v>
      </c>
      <c r="Q5" s="12">
        <v>600</v>
      </c>
      <c r="R5" s="12">
        <f t="shared" si="0"/>
        <v>97400.000000000015</v>
      </c>
      <c r="X5" s="1" t="s">
        <v>21</v>
      </c>
      <c r="Y5" s="1">
        <f>COUNTIF(D2:D35, "Male")</f>
        <v>15</v>
      </c>
      <c r="AE5" s="1" t="s">
        <v>61</v>
      </c>
      <c r="AF5" s="3">
        <f>SUMIF(I2:I35, "HR", R2:R35)</f>
        <v>373700</v>
      </c>
    </row>
    <row r="6" spans="1:32" ht="45" x14ac:dyDescent="0.2">
      <c r="A6" s="10" t="s">
        <v>66</v>
      </c>
      <c r="B6" s="10" t="s">
        <v>67</v>
      </c>
      <c r="C6" s="10" t="s">
        <v>68</v>
      </c>
      <c r="D6" s="10" t="s">
        <v>34</v>
      </c>
      <c r="E6" s="10" t="s">
        <v>69</v>
      </c>
      <c r="F6" s="10" t="s">
        <v>70</v>
      </c>
      <c r="G6" s="10" t="s">
        <v>71</v>
      </c>
      <c r="H6" s="10" t="s">
        <v>72</v>
      </c>
      <c r="I6" s="10" t="s">
        <v>26</v>
      </c>
      <c r="J6" s="10" t="s">
        <v>73</v>
      </c>
      <c r="K6" s="10" t="s">
        <v>63</v>
      </c>
      <c r="L6" s="10" t="s">
        <v>29</v>
      </c>
      <c r="M6" s="11">
        <v>45204</v>
      </c>
      <c r="N6" s="10" t="s">
        <v>74</v>
      </c>
      <c r="O6" s="12">
        <v>15500</v>
      </c>
      <c r="P6" s="13">
        <v>0.12</v>
      </c>
      <c r="Q6" s="12">
        <v>400</v>
      </c>
      <c r="R6" s="12">
        <f t="shared" si="0"/>
        <v>185600</v>
      </c>
      <c r="X6" s="1" t="s">
        <v>34</v>
      </c>
      <c r="Y6" s="1">
        <f>COUNTIF(D2:D35, "Female")</f>
        <v>19</v>
      </c>
      <c r="AE6" s="1" t="s">
        <v>50</v>
      </c>
      <c r="AF6" s="3">
        <f>SUMIF(I2:I35, "Finance", R2:R35)</f>
        <v>254500</v>
      </c>
    </row>
    <row r="7" spans="1:32" ht="30" x14ac:dyDescent="0.2">
      <c r="A7" s="10" t="s">
        <v>75</v>
      </c>
      <c r="B7" s="10" t="s">
        <v>76</v>
      </c>
      <c r="C7" s="10" t="s">
        <v>77</v>
      </c>
      <c r="D7" s="10" t="s">
        <v>34</v>
      </c>
      <c r="E7" s="10" t="s">
        <v>78</v>
      </c>
      <c r="F7" s="10" t="s">
        <v>79</v>
      </c>
      <c r="G7" s="10" t="s">
        <v>80</v>
      </c>
      <c r="H7" s="10" t="s">
        <v>81</v>
      </c>
      <c r="I7" s="10" t="s">
        <v>82</v>
      </c>
      <c r="J7" s="10" t="s">
        <v>83</v>
      </c>
      <c r="K7" s="10" t="s">
        <v>41</v>
      </c>
      <c r="L7" s="10" t="s">
        <v>64</v>
      </c>
      <c r="M7" s="11">
        <v>44890</v>
      </c>
      <c r="N7" s="10" t="s">
        <v>85</v>
      </c>
      <c r="O7" s="12">
        <v>17000</v>
      </c>
      <c r="P7" s="13">
        <v>0.03</v>
      </c>
      <c r="Q7" s="12">
        <v>500</v>
      </c>
      <c r="R7" s="12">
        <f t="shared" si="0"/>
        <v>50500</v>
      </c>
      <c r="AE7" s="1" t="s">
        <v>39</v>
      </c>
      <c r="AF7" s="3">
        <f>SUMIF(I2:I35, "Marketing", R2:R35)</f>
        <v>328600</v>
      </c>
    </row>
    <row r="8" spans="1:32" ht="30" x14ac:dyDescent="0.2">
      <c r="A8" s="10" t="s">
        <v>86</v>
      </c>
      <c r="B8" s="10" t="s">
        <v>87</v>
      </c>
      <c r="C8" s="10" t="s">
        <v>88</v>
      </c>
      <c r="D8" s="10" t="s">
        <v>34</v>
      </c>
      <c r="E8" s="10" t="s">
        <v>89</v>
      </c>
      <c r="F8" s="10" t="s">
        <v>90</v>
      </c>
      <c r="G8" s="10" t="s">
        <v>91</v>
      </c>
      <c r="H8" s="10" t="s">
        <v>92</v>
      </c>
      <c r="I8" s="10" t="s">
        <v>93</v>
      </c>
      <c r="J8" s="10" t="s">
        <v>94</v>
      </c>
      <c r="K8" s="10" t="s">
        <v>52</v>
      </c>
      <c r="L8" s="10" t="s">
        <v>64</v>
      </c>
      <c r="M8" s="11">
        <v>44000</v>
      </c>
      <c r="N8" s="10" t="s">
        <v>95</v>
      </c>
      <c r="O8" s="12">
        <v>19000</v>
      </c>
      <c r="P8" s="13">
        <v>0.05</v>
      </c>
      <c r="Q8" s="12">
        <v>1000</v>
      </c>
      <c r="R8" s="12">
        <f t="shared" si="0"/>
        <v>94000</v>
      </c>
      <c r="AE8" s="1" t="s">
        <v>93</v>
      </c>
      <c r="AF8" s="3">
        <f>SUMIF(I2:I35, "Sales", R2:R35)</f>
        <v>227200</v>
      </c>
    </row>
    <row r="9" spans="1:32" ht="45" x14ac:dyDescent="0.2">
      <c r="A9" s="10" t="s">
        <v>96</v>
      </c>
      <c r="B9" s="10" t="s">
        <v>97</v>
      </c>
      <c r="C9" s="10" t="s">
        <v>98</v>
      </c>
      <c r="D9" s="10" t="s">
        <v>21</v>
      </c>
      <c r="E9" s="10" t="s">
        <v>22</v>
      </c>
      <c r="F9" s="10" t="s">
        <v>99</v>
      </c>
      <c r="G9" s="10" t="s">
        <v>100</v>
      </c>
      <c r="H9" s="10" t="s">
        <v>101</v>
      </c>
      <c r="I9" s="10" t="s">
        <v>284</v>
      </c>
      <c r="J9" s="10" t="s">
        <v>102</v>
      </c>
      <c r="K9" s="10" t="s">
        <v>52</v>
      </c>
      <c r="L9" s="10" t="s">
        <v>29</v>
      </c>
      <c r="M9" s="11">
        <v>45296</v>
      </c>
      <c r="N9" s="10" t="s">
        <v>103</v>
      </c>
      <c r="O9" s="12">
        <v>13000</v>
      </c>
      <c r="P9" s="13">
        <v>7.0000000000000007E-2</v>
      </c>
      <c r="Q9" s="12">
        <v>600</v>
      </c>
      <c r="R9" s="12">
        <f t="shared" si="0"/>
        <v>90400.000000000015</v>
      </c>
      <c r="AE9" s="1" t="s">
        <v>156</v>
      </c>
      <c r="AF9" s="3">
        <f>SUMIF(I2:I35, "Operations", R2:R35)</f>
        <v>185700</v>
      </c>
    </row>
    <row r="10" spans="1:32" ht="45" x14ac:dyDescent="0.2">
      <c r="A10" s="10" t="s">
        <v>104</v>
      </c>
      <c r="B10" s="10" t="s">
        <v>105</v>
      </c>
      <c r="C10" s="10" t="s">
        <v>106</v>
      </c>
      <c r="D10" s="10" t="s">
        <v>34</v>
      </c>
      <c r="E10" s="10" t="s">
        <v>107</v>
      </c>
      <c r="F10" s="10" t="s">
        <v>108</v>
      </c>
      <c r="G10" s="10" t="s">
        <v>109</v>
      </c>
      <c r="H10" s="10" t="s">
        <v>110</v>
      </c>
      <c r="I10" s="10" t="s">
        <v>61</v>
      </c>
      <c r="J10" s="10" t="s">
        <v>111</v>
      </c>
      <c r="K10" s="10" t="s">
        <v>63</v>
      </c>
      <c r="L10" s="10" t="s">
        <v>29</v>
      </c>
      <c r="M10" s="11">
        <v>45181</v>
      </c>
      <c r="N10" s="10" t="s">
        <v>112</v>
      </c>
      <c r="O10" s="12">
        <v>14500</v>
      </c>
      <c r="P10" s="13">
        <v>0.02</v>
      </c>
      <c r="Q10" s="12">
        <v>400</v>
      </c>
      <c r="R10" s="12">
        <f t="shared" si="0"/>
        <v>28600</v>
      </c>
      <c r="AE10" s="1" t="s">
        <v>26</v>
      </c>
      <c r="AF10" s="3">
        <f>SUMIF(I2:I35, "IT", R2:R35)</f>
        <v>737200</v>
      </c>
    </row>
    <row r="11" spans="1:32" ht="45" x14ac:dyDescent="0.2">
      <c r="A11" s="10" t="s">
        <v>113</v>
      </c>
      <c r="B11" s="10" t="s">
        <v>114</v>
      </c>
      <c r="C11" s="10" t="s">
        <v>19</v>
      </c>
      <c r="D11" s="10" t="s">
        <v>21</v>
      </c>
      <c r="E11" s="10" t="s">
        <v>115</v>
      </c>
      <c r="F11" s="10" t="s">
        <v>116</v>
      </c>
      <c r="G11" s="10" t="s">
        <v>117</v>
      </c>
      <c r="H11" s="10" t="s">
        <v>118</v>
      </c>
      <c r="I11" s="10" t="s">
        <v>50</v>
      </c>
      <c r="J11" s="10" t="s">
        <v>119</v>
      </c>
      <c r="K11" s="10" t="s">
        <v>41</v>
      </c>
      <c r="L11" s="10" t="s">
        <v>29</v>
      </c>
      <c r="M11" s="11">
        <v>44680</v>
      </c>
      <c r="N11" s="10" t="s">
        <v>120</v>
      </c>
      <c r="O11" s="12">
        <v>16000</v>
      </c>
      <c r="P11" s="13">
        <v>0.02</v>
      </c>
      <c r="Q11" s="12">
        <v>800</v>
      </c>
      <c r="R11" s="12">
        <f t="shared" si="0"/>
        <v>31200</v>
      </c>
      <c r="AE11" s="1" t="s">
        <v>146</v>
      </c>
      <c r="AF11" s="3">
        <f>SUMIF(I2:I35, "Customer Support", R2:R35)</f>
        <v>135000</v>
      </c>
    </row>
    <row r="12" spans="1:32" ht="30" x14ac:dyDescent="0.2">
      <c r="A12" s="10" t="s">
        <v>121</v>
      </c>
      <c r="B12" s="10" t="s">
        <v>122</v>
      </c>
      <c r="C12" s="10" t="s">
        <v>123</v>
      </c>
      <c r="D12" s="10" t="s">
        <v>34</v>
      </c>
      <c r="E12" s="10" t="s">
        <v>124</v>
      </c>
      <c r="F12" s="10" t="s">
        <v>125</v>
      </c>
      <c r="G12" s="10" t="s">
        <v>126</v>
      </c>
      <c r="H12" s="10" t="s">
        <v>127</v>
      </c>
      <c r="I12" s="10" t="s">
        <v>39</v>
      </c>
      <c r="J12" s="10" t="s">
        <v>128</v>
      </c>
      <c r="K12" s="10" t="s">
        <v>41</v>
      </c>
      <c r="L12" s="10" t="s">
        <v>29</v>
      </c>
      <c r="M12" s="11">
        <v>44276</v>
      </c>
      <c r="N12" s="10" t="s">
        <v>129</v>
      </c>
      <c r="O12" s="12">
        <v>18500</v>
      </c>
      <c r="P12" s="13">
        <v>0.05</v>
      </c>
      <c r="Q12" s="12">
        <v>900</v>
      </c>
      <c r="R12" s="12">
        <f t="shared" si="0"/>
        <v>91600</v>
      </c>
      <c r="AE12" s="1" t="s">
        <v>82</v>
      </c>
      <c r="AF12" s="3">
        <f>SUMIF(I2:I35, "R&amp;D", R2:R35)</f>
        <v>247800</v>
      </c>
    </row>
    <row r="13" spans="1:32" ht="30" x14ac:dyDescent="0.2">
      <c r="A13" s="10" t="s">
        <v>130</v>
      </c>
      <c r="B13" s="10" t="s">
        <v>131</v>
      </c>
      <c r="C13" s="10" t="s">
        <v>132</v>
      </c>
      <c r="D13" s="10" t="s">
        <v>21</v>
      </c>
      <c r="E13" s="10" t="s">
        <v>133</v>
      </c>
      <c r="F13" s="10" t="s">
        <v>134</v>
      </c>
      <c r="G13" s="10" t="s">
        <v>135</v>
      </c>
      <c r="H13" s="10" t="s">
        <v>136</v>
      </c>
      <c r="I13" s="10" t="s">
        <v>26</v>
      </c>
      <c r="J13" s="10" t="s">
        <v>137</v>
      </c>
      <c r="K13" s="10" t="s">
        <v>41</v>
      </c>
      <c r="L13" s="10" t="s">
        <v>29</v>
      </c>
      <c r="M13" s="11">
        <v>45137</v>
      </c>
      <c r="N13" s="10" t="s">
        <v>138</v>
      </c>
      <c r="O13" s="12">
        <v>17500</v>
      </c>
      <c r="P13" s="13">
        <v>0.08</v>
      </c>
      <c r="Q13" s="12">
        <v>1000</v>
      </c>
      <c r="R13" s="12">
        <f t="shared" si="0"/>
        <v>139000</v>
      </c>
      <c r="AE13" s="1" t="s">
        <v>166</v>
      </c>
      <c r="AF13" s="3">
        <f>SUMIF(I2:I35, "Legal", R2:R35)</f>
        <v>257300</v>
      </c>
    </row>
    <row r="14" spans="1:32" ht="45" x14ac:dyDescent="0.2">
      <c r="A14" s="10" t="s">
        <v>139</v>
      </c>
      <c r="B14" s="10" t="s">
        <v>140</v>
      </c>
      <c r="C14" s="10" t="s">
        <v>141</v>
      </c>
      <c r="D14" s="10" t="s">
        <v>34</v>
      </c>
      <c r="E14" s="10" t="s">
        <v>142</v>
      </c>
      <c r="F14" s="10" t="s">
        <v>143</v>
      </c>
      <c r="G14" s="10" t="s">
        <v>144</v>
      </c>
      <c r="H14" s="10" t="s">
        <v>145</v>
      </c>
      <c r="I14" s="10" t="s">
        <v>146</v>
      </c>
      <c r="J14" s="10" t="s">
        <v>147</v>
      </c>
      <c r="K14" s="10" t="s">
        <v>63</v>
      </c>
      <c r="L14" s="10" t="s">
        <v>64</v>
      </c>
      <c r="M14" s="11">
        <v>45323</v>
      </c>
      <c r="N14" s="10" t="s">
        <v>148</v>
      </c>
      <c r="O14" s="12">
        <v>11000</v>
      </c>
      <c r="P14" s="13">
        <v>0.03</v>
      </c>
      <c r="Q14" s="12">
        <v>300</v>
      </c>
      <c r="R14" s="12">
        <f t="shared" si="0"/>
        <v>32700</v>
      </c>
      <c r="AE14" s="1" t="s">
        <v>284</v>
      </c>
      <c r="AF14" s="3">
        <f>SUMIF(I2:I35, "Adminstration", R2:R35)</f>
        <v>90400.000000000015</v>
      </c>
    </row>
    <row r="15" spans="1:32" ht="30" x14ac:dyDescent="0.2">
      <c r="A15" s="10" t="s">
        <v>149</v>
      </c>
      <c r="B15" s="10" t="s">
        <v>150</v>
      </c>
      <c r="C15" s="10" t="s">
        <v>151</v>
      </c>
      <c r="D15" s="10" t="s">
        <v>21</v>
      </c>
      <c r="E15" s="10" t="s">
        <v>152</v>
      </c>
      <c r="F15" s="10" t="s">
        <v>153</v>
      </c>
      <c r="G15" s="10" t="s">
        <v>154</v>
      </c>
      <c r="H15" s="10" t="s">
        <v>155</v>
      </c>
      <c r="I15" s="10" t="s">
        <v>156</v>
      </c>
      <c r="J15" s="10" t="s">
        <v>157</v>
      </c>
      <c r="K15" s="10" t="s">
        <v>52</v>
      </c>
      <c r="L15" s="10" t="s">
        <v>64</v>
      </c>
      <c r="M15" s="11">
        <v>43786</v>
      </c>
      <c r="N15" s="10" t="s">
        <v>158</v>
      </c>
      <c r="O15" s="12">
        <v>20000</v>
      </c>
      <c r="P15" s="13">
        <v>0.08</v>
      </c>
      <c r="Q15" s="12">
        <v>1500</v>
      </c>
      <c r="R15" s="12">
        <f t="shared" si="0"/>
        <v>158500</v>
      </c>
      <c r="AF15" s="3"/>
    </row>
    <row r="16" spans="1:32" ht="30" x14ac:dyDescent="0.2">
      <c r="A16" s="10" t="s">
        <v>159</v>
      </c>
      <c r="B16" s="10" t="s">
        <v>160</v>
      </c>
      <c r="C16" s="10" t="s">
        <v>161</v>
      </c>
      <c r="D16" s="10" t="s">
        <v>34</v>
      </c>
      <c r="E16" s="10" t="s">
        <v>162</v>
      </c>
      <c r="F16" s="10" t="s">
        <v>163</v>
      </c>
      <c r="G16" s="10" t="s">
        <v>164</v>
      </c>
      <c r="H16" s="10" t="s">
        <v>165</v>
      </c>
      <c r="I16" s="10" t="s">
        <v>166</v>
      </c>
      <c r="J16" s="10" t="s">
        <v>167</v>
      </c>
      <c r="K16" s="10" t="s">
        <v>28</v>
      </c>
      <c r="L16" s="10" t="s">
        <v>64</v>
      </c>
      <c r="M16" s="11">
        <v>44735</v>
      </c>
      <c r="N16" s="10" t="s">
        <v>168</v>
      </c>
      <c r="O16" s="12">
        <v>17000</v>
      </c>
      <c r="P16" s="13">
        <v>0.12</v>
      </c>
      <c r="Q16" s="12">
        <v>600</v>
      </c>
      <c r="R16" s="12">
        <f t="shared" si="0"/>
        <v>203400</v>
      </c>
    </row>
    <row r="17" spans="1:18" ht="45" x14ac:dyDescent="0.2">
      <c r="A17" s="10" t="s">
        <v>169</v>
      </c>
      <c r="B17" s="10" t="s">
        <v>170</v>
      </c>
      <c r="C17" s="10" t="s">
        <v>171</v>
      </c>
      <c r="D17" s="10" t="s">
        <v>21</v>
      </c>
      <c r="E17" s="10" t="s">
        <v>172</v>
      </c>
      <c r="F17" s="10" t="s">
        <v>173</v>
      </c>
      <c r="G17" s="10" t="s">
        <v>174</v>
      </c>
      <c r="H17" s="10" t="s">
        <v>175</v>
      </c>
      <c r="I17" s="10" t="s">
        <v>26</v>
      </c>
      <c r="J17" s="10" t="s">
        <v>176</v>
      </c>
      <c r="K17" s="10" t="s">
        <v>63</v>
      </c>
      <c r="L17" s="10" t="s">
        <v>29</v>
      </c>
      <c r="M17" s="11">
        <v>45213</v>
      </c>
      <c r="N17" s="10" t="s">
        <v>177</v>
      </c>
      <c r="O17" s="12">
        <v>15000</v>
      </c>
      <c r="P17" s="13">
        <v>0.05</v>
      </c>
      <c r="Q17" s="12">
        <v>500</v>
      </c>
      <c r="R17" s="12">
        <f t="shared" si="0"/>
        <v>74500</v>
      </c>
    </row>
    <row r="18" spans="1:18" ht="30" x14ac:dyDescent="0.2">
      <c r="A18" s="10" t="s">
        <v>178</v>
      </c>
      <c r="B18" s="10" t="s">
        <v>179</v>
      </c>
      <c r="C18" s="10" t="s">
        <v>180</v>
      </c>
      <c r="D18" s="10" t="s">
        <v>34</v>
      </c>
      <c r="E18" s="10" t="s">
        <v>181</v>
      </c>
      <c r="F18" s="10" t="s">
        <v>182</v>
      </c>
      <c r="G18" s="10" t="s">
        <v>183</v>
      </c>
      <c r="H18" s="10" t="s">
        <v>184</v>
      </c>
      <c r="I18" s="10" t="s">
        <v>39</v>
      </c>
      <c r="J18" s="10" t="s">
        <v>185</v>
      </c>
      <c r="K18" s="10" t="s">
        <v>28</v>
      </c>
      <c r="L18" s="10" t="s">
        <v>29</v>
      </c>
      <c r="M18" s="11">
        <v>44541</v>
      </c>
      <c r="N18" s="10" t="s">
        <v>186</v>
      </c>
      <c r="O18" s="12">
        <v>16500</v>
      </c>
      <c r="P18" s="13">
        <v>0.03</v>
      </c>
      <c r="Q18" s="12">
        <v>700</v>
      </c>
      <c r="R18" s="12">
        <f t="shared" si="0"/>
        <v>48800</v>
      </c>
    </row>
    <row r="19" spans="1:18" ht="30" x14ac:dyDescent="0.2">
      <c r="A19" s="10" t="s">
        <v>187</v>
      </c>
      <c r="B19" s="10" t="s">
        <v>32</v>
      </c>
      <c r="C19" s="10" t="s">
        <v>188</v>
      </c>
      <c r="D19" s="10" t="s">
        <v>34</v>
      </c>
      <c r="E19" s="10" t="s">
        <v>22</v>
      </c>
      <c r="F19" s="10" t="s">
        <v>189</v>
      </c>
      <c r="G19" s="10" t="s">
        <v>190</v>
      </c>
      <c r="H19" s="10" t="s">
        <v>25</v>
      </c>
      <c r="I19" s="10" t="s">
        <v>26</v>
      </c>
      <c r="J19" s="10" t="s">
        <v>191</v>
      </c>
      <c r="K19" s="10" t="s">
        <v>28</v>
      </c>
      <c r="L19" s="10" t="s">
        <v>84</v>
      </c>
      <c r="M19" s="11">
        <v>43263</v>
      </c>
      <c r="N19" s="10" t="s">
        <v>192</v>
      </c>
      <c r="O19" s="12">
        <v>25000</v>
      </c>
      <c r="P19" s="13">
        <v>0.02</v>
      </c>
      <c r="Q19" s="12">
        <v>1500</v>
      </c>
      <c r="R19" s="12">
        <f t="shared" si="0"/>
        <v>48500</v>
      </c>
    </row>
    <row r="20" spans="1:18" ht="30" x14ac:dyDescent="0.2">
      <c r="A20" s="10" t="s">
        <v>193</v>
      </c>
      <c r="B20" s="10" t="s">
        <v>194</v>
      </c>
      <c r="C20" s="10" t="s">
        <v>195</v>
      </c>
      <c r="D20" s="10" t="s">
        <v>21</v>
      </c>
      <c r="E20" s="10" t="s">
        <v>35</v>
      </c>
      <c r="F20" s="10" t="s">
        <v>196</v>
      </c>
      <c r="G20" s="10" t="s">
        <v>197</v>
      </c>
      <c r="H20" s="10" t="s">
        <v>38</v>
      </c>
      <c r="I20" s="10" t="s">
        <v>39</v>
      </c>
      <c r="J20" s="10" t="s">
        <v>198</v>
      </c>
      <c r="K20" s="10" t="s">
        <v>28</v>
      </c>
      <c r="L20" s="10" t="s">
        <v>29</v>
      </c>
      <c r="M20" s="11">
        <v>42845</v>
      </c>
      <c r="N20" s="10" t="s">
        <v>192</v>
      </c>
      <c r="O20" s="12">
        <v>28000</v>
      </c>
      <c r="P20" s="13">
        <v>0.03</v>
      </c>
      <c r="Q20" s="12">
        <v>2000</v>
      </c>
      <c r="R20" s="12">
        <f t="shared" si="0"/>
        <v>82000</v>
      </c>
    </row>
    <row r="21" spans="1:18" ht="45" x14ac:dyDescent="0.2">
      <c r="A21" s="10" t="s">
        <v>199</v>
      </c>
      <c r="B21" s="10" t="s">
        <v>200</v>
      </c>
      <c r="C21" s="10" t="s">
        <v>201</v>
      </c>
      <c r="D21" s="10" t="s">
        <v>34</v>
      </c>
      <c r="E21" s="10" t="s">
        <v>46</v>
      </c>
      <c r="F21" s="10" t="s">
        <v>202</v>
      </c>
      <c r="G21" s="10" t="s">
        <v>203</v>
      </c>
      <c r="H21" s="10" t="s">
        <v>49</v>
      </c>
      <c r="I21" s="10" t="s">
        <v>50</v>
      </c>
      <c r="J21" s="10" t="s">
        <v>204</v>
      </c>
      <c r="K21" s="10" t="s">
        <v>285</v>
      </c>
      <c r="L21" s="10" t="s">
        <v>29</v>
      </c>
      <c r="M21" s="11">
        <v>42050</v>
      </c>
      <c r="N21" s="10" t="s">
        <v>192</v>
      </c>
      <c r="O21" s="12">
        <v>30000</v>
      </c>
      <c r="P21" s="13">
        <v>0.02</v>
      </c>
      <c r="Q21" s="12">
        <v>2500</v>
      </c>
      <c r="R21" s="12">
        <f t="shared" si="0"/>
        <v>57500</v>
      </c>
    </row>
    <row r="22" spans="1:18" ht="30" x14ac:dyDescent="0.2">
      <c r="A22" s="10" t="s">
        <v>205</v>
      </c>
      <c r="B22" s="10" t="s">
        <v>206</v>
      </c>
      <c r="C22" s="10" t="s">
        <v>207</v>
      </c>
      <c r="D22" s="10" t="s">
        <v>21</v>
      </c>
      <c r="E22" s="10" t="s">
        <v>57</v>
      </c>
      <c r="F22" s="10" t="s">
        <v>208</v>
      </c>
      <c r="G22" s="10" t="s">
        <v>209</v>
      </c>
      <c r="H22" s="10" t="s">
        <v>60</v>
      </c>
      <c r="I22" s="10" t="s">
        <v>61</v>
      </c>
      <c r="J22" s="10" t="s">
        <v>210</v>
      </c>
      <c r="K22" s="10" t="s">
        <v>288</v>
      </c>
      <c r="L22" s="10" t="s">
        <v>29</v>
      </c>
      <c r="M22" s="11">
        <v>43656</v>
      </c>
      <c r="N22" s="10" t="s">
        <v>192</v>
      </c>
      <c r="O22" s="12">
        <v>26000</v>
      </c>
      <c r="P22" s="13">
        <v>0.02</v>
      </c>
      <c r="Q22" s="12">
        <v>1700</v>
      </c>
      <c r="R22" s="12">
        <f t="shared" si="0"/>
        <v>50300</v>
      </c>
    </row>
    <row r="23" spans="1:18" ht="30" x14ac:dyDescent="0.2">
      <c r="A23" s="10" t="s">
        <v>211</v>
      </c>
      <c r="B23" s="10" t="s">
        <v>212</v>
      </c>
      <c r="C23" s="10" t="s">
        <v>106</v>
      </c>
      <c r="D23" s="10" t="s">
        <v>34</v>
      </c>
      <c r="E23" s="10" t="s">
        <v>69</v>
      </c>
      <c r="F23" s="10" t="s">
        <v>213</v>
      </c>
      <c r="G23" s="10" t="s">
        <v>214</v>
      </c>
      <c r="H23" s="10" t="s">
        <v>72</v>
      </c>
      <c r="I23" s="10" t="s">
        <v>26</v>
      </c>
      <c r="J23" s="10" t="s">
        <v>215</v>
      </c>
      <c r="K23" s="10" t="s">
        <v>288</v>
      </c>
      <c r="L23" s="10" t="s">
        <v>84</v>
      </c>
      <c r="M23" s="11">
        <v>42648</v>
      </c>
      <c r="N23" s="10" t="s">
        <v>192</v>
      </c>
      <c r="O23" s="12">
        <v>27500</v>
      </c>
      <c r="P23" s="13">
        <v>0.02</v>
      </c>
      <c r="Q23" s="12">
        <v>2200</v>
      </c>
      <c r="R23" s="12">
        <f t="shared" si="0"/>
        <v>52800</v>
      </c>
    </row>
    <row r="24" spans="1:18" ht="30" x14ac:dyDescent="0.2">
      <c r="A24" s="10" t="s">
        <v>216</v>
      </c>
      <c r="B24" s="10" t="s">
        <v>217</v>
      </c>
      <c r="C24" s="10" t="s">
        <v>218</v>
      </c>
      <c r="D24" s="10" t="s">
        <v>34</v>
      </c>
      <c r="E24" s="10" t="s">
        <v>78</v>
      </c>
      <c r="F24" s="10" t="s">
        <v>219</v>
      </c>
      <c r="G24" s="10" t="s">
        <v>220</v>
      </c>
      <c r="H24" s="10" t="s">
        <v>81</v>
      </c>
      <c r="I24" s="10" t="s">
        <v>82</v>
      </c>
      <c r="J24" s="10" t="s">
        <v>221</v>
      </c>
      <c r="K24" s="10" t="s">
        <v>63</v>
      </c>
      <c r="L24" s="10" t="s">
        <v>29</v>
      </c>
      <c r="M24" s="11">
        <v>42333</v>
      </c>
      <c r="N24" s="10" t="s">
        <v>192</v>
      </c>
      <c r="O24" s="12">
        <v>29000</v>
      </c>
      <c r="P24" s="13">
        <v>0.05</v>
      </c>
      <c r="Q24" s="12">
        <v>2300</v>
      </c>
      <c r="R24" s="12">
        <f t="shared" si="0"/>
        <v>142700</v>
      </c>
    </row>
    <row r="25" spans="1:18" ht="30" x14ac:dyDescent="0.2">
      <c r="A25" s="10" t="s">
        <v>222</v>
      </c>
      <c r="B25" s="10" t="s">
        <v>223</v>
      </c>
      <c r="C25" s="10" t="s">
        <v>224</v>
      </c>
      <c r="D25" s="10" t="s">
        <v>21</v>
      </c>
      <c r="E25" s="10" t="s">
        <v>89</v>
      </c>
      <c r="F25" s="10" t="s">
        <v>225</v>
      </c>
      <c r="G25" s="10" t="s">
        <v>226</v>
      </c>
      <c r="H25" s="10" t="s">
        <v>92</v>
      </c>
      <c r="I25" s="10" t="s">
        <v>93</v>
      </c>
      <c r="J25" s="10" t="s">
        <v>227</v>
      </c>
      <c r="K25" s="10" t="s">
        <v>287</v>
      </c>
      <c r="L25" s="10" t="s">
        <v>29</v>
      </c>
      <c r="M25" s="11">
        <v>43269</v>
      </c>
      <c r="N25" s="10" t="s">
        <v>192</v>
      </c>
      <c r="O25" s="12">
        <v>27000</v>
      </c>
      <c r="P25" s="13">
        <v>0.05</v>
      </c>
      <c r="Q25" s="12">
        <v>1800</v>
      </c>
      <c r="R25" s="12">
        <f t="shared" si="0"/>
        <v>133200</v>
      </c>
    </row>
    <row r="26" spans="1:18" ht="60" x14ac:dyDescent="0.2">
      <c r="A26" s="10" t="s">
        <v>228</v>
      </c>
      <c r="B26" s="10" t="s">
        <v>19</v>
      </c>
      <c r="C26" s="10" t="s">
        <v>20</v>
      </c>
      <c r="D26" s="10" t="s">
        <v>21</v>
      </c>
      <c r="E26" s="10" t="s">
        <v>22</v>
      </c>
      <c r="F26" s="10" t="s">
        <v>229</v>
      </c>
      <c r="G26" s="10" t="s">
        <v>24</v>
      </c>
      <c r="H26" s="10" t="s">
        <v>101</v>
      </c>
      <c r="I26" s="10" t="s">
        <v>26</v>
      </c>
      <c r="J26" s="10" t="s">
        <v>230</v>
      </c>
      <c r="K26" s="10" t="s">
        <v>285</v>
      </c>
      <c r="L26" s="10" t="s">
        <v>84</v>
      </c>
      <c r="M26" s="11">
        <v>42740</v>
      </c>
      <c r="N26" s="10" t="s">
        <v>192</v>
      </c>
      <c r="O26" s="12">
        <v>26500</v>
      </c>
      <c r="P26" s="13">
        <v>0.06</v>
      </c>
      <c r="Q26" s="12">
        <v>1600</v>
      </c>
      <c r="R26" s="12">
        <f t="shared" si="0"/>
        <v>157400</v>
      </c>
    </row>
    <row r="27" spans="1:18" ht="30" x14ac:dyDescent="0.2">
      <c r="A27" s="10" t="s">
        <v>231</v>
      </c>
      <c r="B27" s="10" t="s">
        <v>232</v>
      </c>
      <c r="C27" s="10" t="s">
        <v>233</v>
      </c>
      <c r="D27" s="10" t="s">
        <v>34</v>
      </c>
      <c r="E27" s="10" t="s">
        <v>107</v>
      </c>
      <c r="F27" s="10" t="s">
        <v>234</v>
      </c>
      <c r="G27" s="10" t="s">
        <v>235</v>
      </c>
      <c r="H27" s="10" t="s">
        <v>110</v>
      </c>
      <c r="I27" s="10" t="s">
        <v>61</v>
      </c>
      <c r="J27" s="10" t="s">
        <v>236</v>
      </c>
      <c r="K27" s="10" t="s">
        <v>41</v>
      </c>
      <c r="L27" s="10" t="s">
        <v>29</v>
      </c>
      <c r="M27" s="11">
        <v>42625</v>
      </c>
      <c r="N27" s="10" t="s">
        <v>192</v>
      </c>
      <c r="O27" s="12">
        <v>28500</v>
      </c>
      <c r="P27" s="13">
        <v>7.0000000000000007E-2</v>
      </c>
      <c r="Q27" s="12">
        <v>2100</v>
      </c>
      <c r="R27" s="12">
        <f t="shared" si="0"/>
        <v>197400.00000000003</v>
      </c>
    </row>
    <row r="28" spans="1:18" ht="45" x14ac:dyDescent="0.2">
      <c r="A28" s="10" t="s">
        <v>237</v>
      </c>
      <c r="B28" s="10" t="s">
        <v>238</v>
      </c>
      <c r="C28" s="10" t="s">
        <v>239</v>
      </c>
      <c r="D28" s="10" t="s">
        <v>21</v>
      </c>
      <c r="E28" s="10" t="s">
        <v>115</v>
      </c>
      <c r="F28" s="10" t="s">
        <v>240</v>
      </c>
      <c r="G28" s="10" t="s">
        <v>241</v>
      </c>
      <c r="H28" s="10" t="s">
        <v>118</v>
      </c>
      <c r="I28" s="10" t="s">
        <v>50</v>
      </c>
      <c r="J28" s="10" t="s">
        <v>242</v>
      </c>
      <c r="K28" s="10" t="s">
        <v>285</v>
      </c>
      <c r="L28" s="10" t="s">
        <v>84</v>
      </c>
      <c r="M28" s="11">
        <v>43219</v>
      </c>
      <c r="N28" s="10" t="s">
        <v>192</v>
      </c>
      <c r="O28" s="12">
        <v>27000</v>
      </c>
      <c r="P28" s="13">
        <v>0.04</v>
      </c>
      <c r="Q28" s="12">
        <v>1900</v>
      </c>
      <c r="R28" s="12">
        <f t="shared" si="0"/>
        <v>106100</v>
      </c>
    </row>
    <row r="29" spans="1:18" ht="30" x14ac:dyDescent="0.2">
      <c r="A29" s="10" t="s">
        <v>243</v>
      </c>
      <c r="B29" s="10" t="s">
        <v>244</v>
      </c>
      <c r="C29" s="10" t="s">
        <v>245</v>
      </c>
      <c r="D29" s="10" t="s">
        <v>34</v>
      </c>
      <c r="E29" s="10" t="s">
        <v>124</v>
      </c>
      <c r="F29" s="10" t="s">
        <v>246</v>
      </c>
      <c r="G29" s="10" t="s">
        <v>247</v>
      </c>
      <c r="H29" s="10" t="s">
        <v>127</v>
      </c>
      <c r="I29" s="10" t="s">
        <v>39</v>
      </c>
      <c r="J29" s="10" t="s">
        <v>248</v>
      </c>
      <c r="K29" s="10" t="s">
        <v>63</v>
      </c>
      <c r="L29" s="10" t="s">
        <v>29</v>
      </c>
      <c r="M29" s="11">
        <v>42815</v>
      </c>
      <c r="N29" s="10" t="s">
        <v>192</v>
      </c>
      <c r="O29" s="12">
        <v>27500</v>
      </c>
      <c r="P29" s="13">
        <v>0.02</v>
      </c>
      <c r="Q29" s="12">
        <v>2100</v>
      </c>
      <c r="R29" s="12">
        <f t="shared" si="0"/>
        <v>52900</v>
      </c>
    </row>
    <row r="30" spans="1:18" ht="45" x14ac:dyDescent="0.2">
      <c r="A30" s="10" t="s">
        <v>249</v>
      </c>
      <c r="B30" s="10" t="s">
        <v>250</v>
      </c>
      <c r="C30" s="10" t="s">
        <v>251</v>
      </c>
      <c r="D30" s="10" t="s">
        <v>34</v>
      </c>
      <c r="E30" s="10" t="s">
        <v>133</v>
      </c>
      <c r="F30" s="10" t="s">
        <v>252</v>
      </c>
      <c r="G30" s="10" t="s">
        <v>253</v>
      </c>
      <c r="H30" s="10" t="s">
        <v>136</v>
      </c>
      <c r="I30" s="10" t="s">
        <v>26</v>
      </c>
      <c r="J30" s="10" t="s">
        <v>254</v>
      </c>
      <c r="K30" s="14" t="s">
        <v>286</v>
      </c>
      <c r="L30" s="10" t="s">
        <v>29</v>
      </c>
      <c r="M30" s="11">
        <v>43676</v>
      </c>
      <c r="N30" s="10" t="s">
        <v>192</v>
      </c>
      <c r="O30" s="12">
        <v>26500</v>
      </c>
      <c r="P30" s="13">
        <v>0.01</v>
      </c>
      <c r="Q30" s="12">
        <v>1800</v>
      </c>
      <c r="R30" s="12">
        <f t="shared" si="0"/>
        <v>24700</v>
      </c>
    </row>
    <row r="31" spans="1:18" ht="45" x14ac:dyDescent="0.2">
      <c r="A31" s="10" t="s">
        <v>255</v>
      </c>
      <c r="B31" s="10" t="s">
        <v>256</v>
      </c>
      <c r="C31" s="10" t="s">
        <v>33</v>
      </c>
      <c r="D31" s="10" t="s">
        <v>21</v>
      </c>
      <c r="E31" s="10" t="s">
        <v>152</v>
      </c>
      <c r="F31" s="10" t="s">
        <v>257</v>
      </c>
      <c r="G31" s="10" t="s">
        <v>258</v>
      </c>
      <c r="H31" s="10" t="s">
        <v>155</v>
      </c>
      <c r="I31" s="10" t="s">
        <v>146</v>
      </c>
      <c r="J31" s="10" t="s">
        <v>259</v>
      </c>
      <c r="K31" s="10" t="s">
        <v>63</v>
      </c>
      <c r="L31" s="10" t="s">
        <v>84</v>
      </c>
      <c r="M31" s="11">
        <v>42036</v>
      </c>
      <c r="N31" s="10" t="s">
        <v>192</v>
      </c>
      <c r="O31" s="12">
        <v>26000</v>
      </c>
      <c r="P31" s="13">
        <v>0.04</v>
      </c>
      <c r="Q31" s="12">
        <v>1700</v>
      </c>
      <c r="R31" s="12">
        <f t="shared" si="0"/>
        <v>102300</v>
      </c>
    </row>
    <row r="32" spans="1:18" ht="45" x14ac:dyDescent="0.2">
      <c r="A32" s="10" t="s">
        <v>260</v>
      </c>
      <c r="B32" s="10" t="s">
        <v>261</v>
      </c>
      <c r="C32" s="10" t="s">
        <v>262</v>
      </c>
      <c r="D32" s="10" t="s">
        <v>34</v>
      </c>
      <c r="E32" s="10" t="s">
        <v>69</v>
      </c>
      <c r="F32" s="10" t="s">
        <v>263</v>
      </c>
      <c r="G32" s="10" t="s">
        <v>264</v>
      </c>
      <c r="H32" s="10" t="s">
        <v>72</v>
      </c>
      <c r="I32" s="10" t="s">
        <v>156</v>
      </c>
      <c r="J32" s="10" t="s">
        <v>265</v>
      </c>
      <c r="K32" s="10" t="s">
        <v>63</v>
      </c>
      <c r="L32" s="10" t="s">
        <v>29</v>
      </c>
      <c r="M32" s="11">
        <v>42691</v>
      </c>
      <c r="N32" s="10" t="s">
        <v>192</v>
      </c>
      <c r="O32" s="12">
        <v>29500</v>
      </c>
      <c r="P32" s="13">
        <v>0.01</v>
      </c>
      <c r="Q32" s="12">
        <v>2300</v>
      </c>
      <c r="R32" s="12">
        <f t="shared" si="0"/>
        <v>27200</v>
      </c>
    </row>
    <row r="33" spans="1:18" ht="30" x14ac:dyDescent="0.2">
      <c r="A33" s="10" t="s">
        <v>266</v>
      </c>
      <c r="B33" s="10" t="s">
        <v>267</v>
      </c>
      <c r="C33" s="10" t="s">
        <v>268</v>
      </c>
      <c r="D33" s="10" t="s">
        <v>21</v>
      </c>
      <c r="E33" s="10" t="s">
        <v>162</v>
      </c>
      <c r="F33" s="10" t="s">
        <v>269</v>
      </c>
      <c r="G33" s="10" t="s">
        <v>270</v>
      </c>
      <c r="H33" s="10" t="s">
        <v>165</v>
      </c>
      <c r="I33" s="10" t="s">
        <v>166</v>
      </c>
      <c r="J33" s="10" t="s">
        <v>271</v>
      </c>
      <c r="K33" s="10" t="s">
        <v>63</v>
      </c>
      <c r="L33" s="10" t="s">
        <v>29</v>
      </c>
      <c r="M33" s="11">
        <v>42909</v>
      </c>
      <c r="N33" s="10" t="s">
        <v>192</v>
      </c>
      <c r="O33" s="12">
        <v>28000</v>
      </c>
      <c r="P33" s="13">
        <v>0.02</v>
      </c>
      <c r="Q33" s="12">
        <v>2100</v>
      </c>
      <c r="R33" s="12">
        <f t="shared" si="0"/>
        <v>53900</v>
      </c>
    </row>
    <row r="34" spans="1:18" ht="45" x14ac:dyDescent="0.2">
      <c r="A34" s="10" t="s">
        <v>272</v>
      </c>
      <c r="B34" s="10" t="s">
        <v>273</v>
      </c>
      <c r="C34" s="10" t="s">
        <v>274</v>
      </c>
      <c r="D34" s="10" t="s">
        <v>34</v>
      </c>
      <c r="E34" s="10" t="s">
        <v>172</v>
      </c>
      <c r="F34" s="10" t="s">
        <v>275</v>
      </c>
      <c r="G34" s="10" t="s">
        <v>276</v>
      </c>
      <c r="H34" s="10" t="s">
        <v>175</v>
      </c>
      <c r="I34" s="10" t="s">
        <v>26</v>
      </c>
      <c r="J34" s="10" t="s">
        <v>277</v>
      </c>
      <c r="K34" s="10" t="s">
        <v>285</v>
      </c>
      <c r="L34" s="10" t="s">
        <v>29</v>
      </c>
      <c r="M34" s="11">
        <v>43387</v>
      </c>
      <c r="N34" s="10" t="s">
        <v>192</v>
      </c>
      <c r="O34" s="12">
        <v>27000</v>
      </c>
      <c r="P34" s="13">
        <v>0.01</v>
      </c>
      <c r="Q34" s="12">
        <v>1800</v>
      </c>
      <c r="R34" s="12">
        <f t="shared" si="0"/>
        <v>25200</v>
      </c>
    </row>
    <row r="35" spans="1:18" ht="45" x14ac:dyDescent="0.2">
      <c r="A35" s="10" t="s">
        <v>278</v>
      </c>
      <c r="B35" s="10" t="s">
        <v>279</v>
      </c>
      <c r="C35" s="10" t="s">
        <v>280</v>
      </c>
      <c r="D35" s="10" t="s">
        <v>21</v>
      </c>
      <c r="E35" s="10" t="s">
        <v>181</v>
      </c>
      <c r="F35" s="10" t="s">
        <v>281</v>
      </c>
      <c r="G35" s="10" t="s">
        <v>282</v>
      </c>
      <c r="H35" s="10" t="s">
        <v>184</v>
      </c>
      <c r="I35" s="10" t="s">
        <v>82</v>
      </c>
      <c r="J35" s="10" t="s">
        <v>283</v>
      </c>
      <c r="K35" s="10" t="s">
        <v>285</v>
      </c>
      <c r="L35" s="10" t="s">
        <v>29</v>
      </c>
      <c r="M35" s="11">
        <v>42349</v>
      </c>
      <c r="N35" s="10" t="s">
        <v>192</v>
      </c>
      <c r="O35" s="12">
        <v>28500</v>
      </c>
      <c r="P35" s="13">
        <v>0.02</v>
      </c>
      <c r="Q35" s="12">
        <v>2400</v>
      </c>
      <c r="R35" s="12">
        <f t="shared" si="0"/>
        <v>54600</v>
      </c>
    </row>
    <row r="36" spans="1:18" x14ac:dyDescent="0.2">
      <c r="R36" s="3">
        <f>SUM(R2:R35)</f>
        <v>2837400</v>
      </c>
    </row>
  </sheetData>
  <dataValidations count="4">
    <dataValidation type="list" allowBlank="1" showInputMessage="1" showErrorMessage="1" sqref="D2:D1048576">
      <formula1>"Male, Female"</formula1>
    </dataValidation>
    <dataValidation type="list" allowBlank="1" showInputMessage="1" showErrorMessage="1" sqref="K2:K1048576">
      <formula1>"Intern, Trainee, Entry-Level, Mid-Level, Junior, Senior, Lead, Manager, Director, Executive"</formula1>
    </dataValidation>
    <dataValidation type="list" allowBlank="1" showInputMessage="1" showErrorMessage="1" sqref="L2:L1048576">
      <formula1>"Full-Time,Part-Time, Contract"</formula1>
    </dataValidation>
    <dataValidation type="list" allowBlank="1" showInputMessage="1" showErrorMessage="1" sqref="I1:I1048576">
      <formula1>"HR, Finance, Marketing, Sales, Operations, IT, Customer Support, R&amp;D, Legal, Adminstration"</formula1>
    </dataValidation>
  </dataValidation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 foundation</dc:creator>
  <cp:lastModifiedBy>computer foundation</cp:lastModifiedBy>
  <dcterms:created xsi:type="dcterms:W3CDTF">2025-03-30T06:10:57Z</dcterms:created>
  <dcterms:modified xsi:type="dcterms:W3CDTF">2025-03-30T07:24:54Z</dcterms:modified>
</cp:coreProperties>
</file>